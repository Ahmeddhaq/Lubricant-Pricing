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tion" sheetId="1" state="visible" r:id="rId1"/>
    <sheet xmlns:r="http://schemas.openxmlformats.org/officeDocument/2006/relationships" name="SK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Component</t>
        </is>
      </c>
      <c r="C1" s="1" t="inlineStr">
        <is>
          <t>Type</t>
        </is>
      </c>
      <c r="D1" s="1" t="inlineStr">
        <is>
          <t>Percentage (%)</t>
        </is>
      </c>
      <c r="E1" s="1" t="inlineStr">
        <is>
          <t>Unit Cost (USD/L)</t>
        </is>
      </c>
      <c r="F1" s="1" t="inlineStr">
        <is>
          <t>Cost Contribution</t>
        </is>
      </c>
    </row>
    <row r="2">
      <c r="A2" t="inlineStr">
        <is>
          <t>5W30 Synthetic</t>
        </is>
      </c>
      <c r="B2" t="inlineStr">
        <is>
          <t>Base Oil Group III</t>
        </is>
      </c>
      <c r="C2" t="inlineStr">
        <is>
          <t>Base Oil</t>
        </is>
      </c>
      <c r="D2" t="n">
        <v>70</v>
      </c>
      <c r="E2" t="n">
        <v>1.5</v>
      </c>
      <c r="F2">
        <f>D2*E2/100</f>
        <v/>
      </c>
    </row>
    <row r="3">
      <c r="A3" t="inlineStr">
        <is>
          <t>5W30 Synthetic</t>
        </is>
      </c>
      <c r="B3" t="inlineStr">
        <is>
          <t>Additive Package</t>
        </is>
      </c>
      <c r="C3" t="inlineStr">
        <is>
          <t>Additive</t>
        </is>
      </c>
      <c r="D3" t="n">
        <v>20</v>
      </c>
      <c r="E3" t="n">
        <v>6</v>
      </c>
      <c r="F3">
        <f>D3*E3/100</f>
        <v/>
      </c>
    </row>
    <row r="4">
      <c r="A4" t="inlineStr">
        <is>
          <t>5W30 Synthetic</t>
        </is>
      </c>
      <c r="B4" t="inlineStr">
        <is>
          <t>VI Improver</t>
        </is>
      </c>
      <c r="C4" t="inlineStr">
        <is>
          <t>Modifier</t>
        </is>
      </c>
      <c r="D4" t="n">
        <v>10</v>
      </c>
      <c r="E4" t="n">
        <v>4</v>
      </c>
      <c r="F4">
        <f>D4*E4/100</f>
        <v/>
      </c>
    </row>
    <row r="5">
      <c r="A5" t="inlineStr">
        <is>
          <t>20W50 Mineral</t>
        </is>
      </c>
      <c r="B5" t="inlineStr">
        <is>
          <t>Base Oil Group I</t>
        </is>
      </c>
      <c r="C5" t="inlineStr">
        <is>
          <t>Base Oil</t>
        </is>
      </c>
      <c r="D5" t="n">
        <v>80</v>
      </c>
      <c r="E5" t="n">
        <v>1.2</v>
      </c>
      <c r="F5">
        <f>D5*E5/100</f>
        <v/>
      </c>
    </row>
    <row r="6">
      <c r="A6" t="inlineStr">
        <is>
          <t>20W50 Mineral</t>
        </is>
      </c>
      <c r="B6" t="inlineStr">
        <is>
          <t>Additive Package</t>
        </is>
      </c>
      <c r="C6" t="inlineStr">
        <is>
          <t>Additive</t>
        </is>
      </c>
      <c r="D6" t="n">
        <v>15</v>
      </c>
      <c r="E6" t="n">
        <v>5.5</v>
      </c>
      <c r="F6">
        <f>D6*E6/100</f>
        <v/>
      </c>
    </row>
    <row r="7">
      <c r="A7" t="inlineStr">
        <is>
          <t>20W50 Mineral</t>
        </is>
      </c>
      <c r="B7" t="inlineStr">
        <is>
          <t>VI Improver</t>
        </is>
      </c>
      <c r="C7" t="inlineStr">
        <is>
          <t>Modifier</t>
        </is>
      </c>
      <c r="D7" t="n">
        <v>5</v>
      </c>
      <c r="E7" t="n">
        <v>3.5</v>
      </c>
      <c r="F7">
        <f>D7*E7/100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Category</t>
        </is>
      </c>
      <c r="C1" s="1" t="inlineStr">
        <is>
          <t>Pack Size</t>
        </is>
      </c>
      <c r="D1" s="1" t="inlineStr">
        <is>
          <t>Units per Carton</t>
        </is>
      </c>
      <c r="E1" s="1" t="inlineStr">
        <is>
          <t>Blend Cost/L</t>
        </is>
      </c>
      <c r="F1" s="1" t="inlineStr">
        <is>
          <t>Packaging Cost/L</t>
        </is>
      </c>
      <c r="G1" s="1" t="inlineStr">
        <is>
          <t>Logistics Cost/L</t>
        </is>
      </c>
      <c r="H1" s="1" t="inlineStr">
        <is>
          <t>Overhead Cost/L</t>
        </is>
      </c>
      <c r="I1" s="1" t="inlineStr">
        <is>
          <t>Total Cost/L</t>
        </is>
      </c>
      <c r="J1" s="1" t="inlineStr">
        <is>
          <t>Selling Price/L</t>
        </is>
      </c>
      <c r="K1" s="1" t="inlineStr">
        <is>
          <t>Margin %</t>
        </is>
      </c>
    </row>
    <row r="2">
      <c r="A2" t="inlineStr">
        <is>
          <t>5W30 Synthetic</t>
        </is>
      </c>
      <c r="B2" t="inlineStr">
        <is>
          <t>Engine Oil</t>
        </is>
      </c>
      <c r="C2" t="inlineStr">
        <is>
          <t>1L</t>
        </is>
      </c>
      <c r="D2" t="n">
        <v>12</v>
      </c>
      <c r="E2" t="n">
        <v>2.7</v>
      </c>
      <c r="F2" t="n">
        <v>0.5</v>
      </c>
      <c r="G2" t="n">
        <v>0.3</v>
      </c>
      <c r="H2" t="n">
        <v>0.5</v>
      </c>
      <c r="I2">
        <f>SUM(E2:H2)</f>
        <v/>
      </c>
      <c r="J2" t="n">
        <v>4</v>
      </c>
      <c r="K2">
        <f>(J2-I2)/J2</f>
        <v/>
      </c>
    </row>
    <row r="3">
      <c r="A3" t="inlineStr">
        <is>
          <t>5W30 Synthetic</t>
        </is>
      </c>
      <c r="B3" t="inlineStr">
        <is>
          <t>Engine Oil</t>
        </is>
      </c>
      <c r="C3" t="inlineStr">
        <is>
          <t>4L</t>
        </is>
      </c>
      <c r="D3" t="n">
        <v>4</v>
      </c>
      <c r="E3" t="n">
        <v>2.7</v>
      </c>
      <c r="F3" t="n">
        <v>0.4</v>
      </c>
      <c r="G3" t="n">
        <v>0.3</v>
      </c>
      <c r="H3" t="n">
        <v>0.5</v>
      </c>
      <c r="I3">
        <f>SUM(E3:H3)</f>
        <v/>
      </c>
      <c r="J3" t="n">
        <v>3.8</v>
      </c>
      <c r="K3">
        <f>(J3-I3)/J3</f>
        <v/>
      </c>
    </row>
    <row r="4">
      <c r="A4" t="inlineStr">
        <is>
          <t>20W50 Mineral</t>
        </is>
      </c>
      <c r="B4" t="inlineStr">
        <is>
          <t>Engine Oil</t>
        </is>
      </c>
      <c r="C4" t="inlineStr">
        <is>
          <t>1L</t>
        </is>
      </c>
      <c r="D4" t="n">
        <v>12</v>
      </c>
      <c r="E4" t="n">
        <v>2.2</v>
      </c>
      <c r="F4" t="n">
        <v>0.5</v>
      </c>
      <c r="G4" t="n">
        <v>0.3</v>
      </c>
      <c r="H4" t="n">
        <v>0.5</v>
      </c>
      <c r="I4">
        <f>SUM(E4:H4)</f>
        <v/>
      </c>
      <c r="J4" t="n">
        <v>3.2</v>
      </c>
      <c r="K4">
        <f>(J4-I4)/J4</f>
        <v/>
      </c>
    </row>
    <row r="5">
      <c r="A5" t="inlineStr">
        <is>
          <t>20W50 Mineral</t>
        </is>
      </c>
      <c r="B5" t="inlineStr">
        <is>
          <t>Engine Oil</t>
        </is>
      </c>
      <c r="C5" t="inlineStr">
        <is>
          <t>4L</t>
        </is>
      </c>
      <c r="D5" t="n">
        <v>4</v>
      </c>
      <c r="E5" t="n">
        <v>2.2</v>
      </c>
      <c r="F5" t="n">
        <v>0.4</v>
      </c>
      <c r="G5" t="n">
        <v>0.3</v>
      </c>
      <c r="H5" t="n">
        <v>0.5</v>
      </c>
      <c r="I5">
        <f>SUM(E5:H5)</f>
        <v/>
      </c>
      <c r="J5" t="n">
        <v>3</v>
      </c>
      <c r="K5">
        <f>(J5-I5)/J5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2026-04-19T06:36:58Z</dcterms:created>
  <dcterms:modified xmlns:dcterms="http://purl.org/dc/terms/" xmlns:xsi="http://www.w3.org/2001/XMLSchema-instance" xsi:type="dcterms:W3CDTF">2026-04-19T06:36:58Z</dcterms:modified>
</cp:coreProperties>
</file>